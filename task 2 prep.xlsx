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DBEC573-E852-4489-8C0F-3B03EB42C5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<sst xmlns="http://schemas.openxmlformats.org/spreadsheetml/2006/main" count="21" uniqueCount="19">
  <si>
    <t>Attendance</t>
  </si>
  <si>
    <t>Customer Statisfaction</t>
  </si>
  <si>
    <t>Sales Achieved</t>
  </si>
  <si>
    <t>Emplyee ID</t>
  </si>
  <si>
    <t>Emplyee Name</t>
  </si>
  <si>
    <t>Department</t>
  </si>
  <si>
    <t>Hassan</t>
  </si>
  <si>
    <t>Maheen</t>
  </si>
  <si>
    <t>Areesh</t>
  </si>
  <si>
    <t>Harmain</t>
  </si>
  <si>
    <t>Qamar</t>
  </si>
  <si>
    <t>Sales</t>
  </si>
  <si>
    <t>Marketing</t>
  </si>
  <si>
    <t>HR</t>
  </si>
  <si>
    <t>Support</t>
  </si>
  <si>
    <t>Perfomance Rating</t>
  </si>
  <si>
    <t>excellent</t>
  </si>
  <si>
    <t>good</t>
  </si>
  <si>
    <t>need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</si>
</sst>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6">
    <dxf>
      <font>
        <color rgb="FFFF0000"/>
      </font>
    </dxf>
    <dxf>
      <font>
        <color theme="9"/>
      </font>
    </dxf>
    <dxf>
      <font>
        <color rgb="FFFFFF00"/>
      </font>
    </dxf>
    <dxf>
      <font>
        <color theme="9"/>
      </font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3" sqref="I13"/>
    </sheetView>
  </sheetViews>
  <sheetFormatPr defaultRowHeight="14.5" x14ac:dyDescent="0.35"/>
  <cols>
    <col min="1" max="1" width="16.81640625" bestFit="1" customWidth="1"/>
    <col min="2" max="2" width="13.36328125" bestFit="1" customWidth="1"/>
    <col min="3" max="3" width="10.90625" bestFit="1" customWidth="1"/>
    <col min="4" max="4" width="13.08984375" bestFit="1" customWidth="1"/>
    <col min="5" max="5" width="19.7265625" bestFit="1" customWidth="1"/>
    <col min="6" max="6" width="10.36328125" bestFit="1" customWidth="1"/>
    <col min="7" max="7" width="16.7265625" bestFit="1" customWidth="1"/>
  </cols>
  <sheetData>
    <row r="1" spans="1:7" x14ac:dyDescent="0.35">
      <c r="A1" s="2" t="s">
        <v>3</v>
      </c>
      <c r="B1" s="2" t="s">
        <v>4</v>
      </c>
      <c r="C1" s="2" t="s">
        <v>5</v>
      </c>
      <c r="D1" s="2" t="s">
        <v>2</v>
      </c>
      <c r="E1" s="2" t="s">
        <v>1</v>
      </c>
      <c r="F1" s="2" t="s">
        <v>0</v>
      </c>
      <c r="G1" s="3" t="s">
        <v>15</v>
      </c>
    </row>
    <row r="2" spans="1:7" x14ac:dyDescent="0.35">
      <c r="A2" s="1">
        <v>1</v>
      </c>
      <c r="B2" s="1" t="s">
        <v>6</v>
      </c>
      <c r="C2" s="1" t="s">
        <v>14</v>
      </c>
      <c r="D2" s="1">
        <v>30</v>
      </c>
      <c r="E2" s="1">
        <v>8</v>
      </c>
      <c r="F2" s="1">
        <v>25</v>
      </c>
      <c r="G2" s="1" t="str">
        <f>IF(AND(D2&gt;=E100002&gt;=8,F2&gt;=20),"EXCELLENT",IF(OR(D2&gt;=7000,E2&gt;=6),"GOOD","need Improvement"))</f>
        <v>EXCELLENT</v>
      </c>
    </row>
    <row r="3" spans="1:7" x14ac:dyDescent="0.35">
      <c r="A3" s="1">
        <v>2</v>
      </c>
      <c r="B3" s="1" t="s">
        <v>7</v>
      </c>
      <c r="C3" s="1" t="s">
        <v>11</v>
      </c>
      <c r="D3" s="1">
        <v>59</v>
      </c>
      <c r="E3" s="1">
        <v>6</v>
      </c>
      <c r="F3" s="1">
        <v>15</v>
      </c>
      <c r="G3" s="1" t="str">
        <f t="shared" ref="G3:G6" si="0">IF(AND(D3&gt;=E100003&gt;=8,F3&gt;=20),"EXCELLENT",IF(OR(D3&gt;=7000,E3&gt;=6),"GOOD","need Improvement"))</f>
        <v>GOOD</v>
      </c>
    </row>
    <row r="4" spans="1:7" x14ac:dyDescent="0.35">
      <c r="A4" s="1">
        <v>3</v>
      </c>
      <c r="B4" s="1" t="s">
        <v>8</v>
      </c>
      <c r="C4" s="1" t="s">
        <v>13</v>
      </c>
      <c r="D4" s="1">
        <v>70</v>
      </c>
      <c r="E4" s="1">
        <v>4</v>
      </c>
      <c r="F4" s="1">
        <v>25</v>
      </c>
      <c r="G4" s="1" t="str">
        <f t="shared" si="0"/>
        <v>EXCELLENT</v>
      </c>
    </row>
    <row r="5" spans="1:7" x14ac:dyDescent="0.35">
      <c r="A5" s="1">
        <v>4</v>
      </c>
      <c r="B5" s="1" t="s">
        <v>9</v>
      </c>
      <c r="C5" s="1" t="s">
        <v>12</v>
      </c>
      <c r="D5" s="1">
        <v>86</v>
      </c>
      <c r="E5" s="1">
        <v>3</v>
      </c>
      <c r="F5" s="1">
        <v>67</v>
      </c>
      <c r="G5" s="1" t="str">
        <f t="shared" si="0"/>
        <v>EXCELLENT</v>
      </c>
    </row>
    <row r="6" spans="1:7" x14ac:dyDescent="0.35">
      <c r="A6" s="1">
        <v>5</v>
      </c>
      <c r="B6" s="1" t="s">
        <v>10</v>
      </c>
      <c r="C6" s="1" t="s">
        <v>11</v>
      </c>
      <c r="D6" s="1">
        <v>98</v>
      </c>
      <c r="E6" s="1">
        <v>5</v>
      </c>
      <c r="F6" s="1">
        <v>8</v>
      </c>
      <c r="G6" s="1" t="str">
        <f t="shared" si="0"/>
        <v>need Improvement</v>
      </c>
    </row>
    <row r="12" spans="1:7" x14ac:dyDescent="0.35">
      <c r="A12" s="2" t="s">
        <v>15</v>
      </c>
      <c r="B12" s="1"/>
    </row>
    <row r="13" spans="1:7" x14ac:dyDescent="0.35">
      <c r="A13" s="2" t="s">
        <v>16</v>
      </c>
      <c r="B13" s="1">
        <f>COUNTIF(G2:G5,"excellent")</f>
        <v>3</v>
      </c>
    </row>
    <row r="14" spans="1:7" x14ac:dyDescent="0.35">
      <c r="A14" s="2" t="s">
        <v>17</v>
      </c>
      <c r="B14" s="1">
        <f>COUNTIF(G3:G6,"good")</f>
        <v>1</v>
      </c>
    </row>
    <row r="15" spans="1:7" x14ac:dyDescent="0.35">
      <c r="A15" s="2" t="s">
        <v>18</v>
      </c>
      <c r="B15" s="1">
        <f>COUNTIF(G2:G6,"need improvement")</f>
        <v>1</v>
      </c>
    </row>
  </sheetData>
  <conditionalFormatting sqref="G1:G1048576">
    <cfRule type="cellIs" dxfId="3" priority="3" operator="equal">
      <formula>"excellent"</formula>
    </cfRule>
    <cfRule type="cellIs" dxfId="4" priority="2" operator="equal">
      <formula>"need improvement"</formula>
    </cfRule>
    <cfRule type="cellIs" dxfId="2" priority="1" operator="equal">
      <formula>"good"</formula>
    </cfRule>
  </conditionalFormatting>
  <dataValidations count="3">
    <dataValidation type="list" allowBlank="1" showInputMessage="1" showErrorMessage="1" sqref="C1:C1048576" xr:uid="{9811692E-B840-4350-A04F-EF2668D9C125}">
      <formula1>"Sales,Source,HR"</formula1>
    </dataValidation>
    <dataValidation type="whole" allowBlank="1" showInputMessage="1" showErrorMessage="1" sqref="D1:D1048576" xr:uid="{37C5402D-F673-4D1E-A36D-E93091F4FA1E}">
      <formula1>0</formula1>
      <formula2>10000</formula2>
    </dataValidation>
    <dataValidation type="whole" allowBlank="1" showInputMessage="1" showErrorMessage="1" sqref="E1:E1048576" xr:uid="{7683A802-D487-4198-9781-4005ACF2EEB4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Sameer Khan</cp:lastModifiedBy>
  <dcterms:created xsi:type="dcterms:W3CDTF">2015-06-05T18:17:20Z</dcterms:created>
  <dcterms:modified xsi:type="dcterms:W3CDTF">2025-12-28T17:29:58Z</dcterms:modified>
</cp:coreProperties>
</file>